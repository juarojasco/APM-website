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AL\2026-1S (XII)\Automatizacion de Procesos de Manufactura\imagnes web\"/>
    </mc:Choice>
  </mc:AlternateContent>
  <xr:revisionPtr revIDLastSave="0" documentId="8_{C5A9352F-9AEC-457F-A393-92C838A5FC56}" xr6:coauthVersionLast="47" xr6:coauthVersionMax="47" xr10:uidLastSave="{00000000-0000-0000-0000-000000000000}"/>
  <bookViews>
    <workbookView xWindow="-108" yWindow="-108" windowWidth="23256" windowHeight="12456" xr2:uid="{EA908970-9E33-4CDE-A21B-95580596B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<sst xmlns="http://schemas.openxmlformats.org/spreadsheetml/2006/main" count="131" uniqueCount="101">
  <si>
    <t>Categoría</t>
  </si>
  <si>
    <t>Equipo</t>
  </si>
  <si>
    <t>Referencia</t>
  </si>
  <si>
    <t>Cant.</t>
  </si>
  <si>
    <t>Precio Unitario (COP)</t>
  </si>
  <si>
    <t>Subtotal (COP)</t>
  </si>
  <si>
    <t>Link</t>
  </si>
  <si>
    <t>Robot</t>
  </si>
  <si>
    <t>Robot Paletizador</t>
  </si>
  <si>
    <t>ABB IRB 460-110/2.4</t>
  </si>
  <si>
    <t>https://new.abb.com/products/robotics/industrial-robots/irb-460</t>
  </si>
  <si>
    <t>Controlador Robot</t>
  </si>
  <si>
    <t>ABB OmniCore C30</t>
  </si>
  <si>
    <t>Incluido</t>
  </si>
  <si>
    <t>https://new.abb.com/products/robotics/controllers/omnicore</t>
  </si>
  <si>
    <t>FlexGripper Clamp</t>
  </si>
  <si>
    <t>ABB FlexGripper Clamp</t>
  </si>
  <si>
    <t>https://library.e.abb.com/public/599e76150db34d35ac0c1e0b3708cc8e/FlexGripper+Family_Presentation_FT_JAN2018_EXTERNAL+DISTRIBUTION.pdf</t>
  </si>
  <si>
    <t>Seguridad</t>
  </si>
  <si>
    <t>Cortina de luz Tipo 4</t>
  </si>
  <si>
    <t>REER EOS4</t>
  </si>
  <si>
    <t>https://www.reersafety.com/en/product/eos4-151-a-1310000/</t>
  </si>
  <si>
    <t>Baliza LED</t>
  </si>
  <si>
    <t>PATLITE LR6</t>
  </si>
  <si>
    <t>https://www.patlite.com/product/detail0000000629.html</t>
  </si>
  <si>
    <t>Panel Robo Fence</t>
  </si>
  <si>
    <t>Panel estándar</t>
  </si>
  <si>
    <t>https://www.traceparts.com/els/squaregroup/en/search/robo-fencer-machine-guarding-panels-yellow-panels-with-black-mesh-25-mm-x-25-mm?CatalogPath=SQUARE_641530326%3ARFMG.020.010</t>
  </si>
  <si>
    <t>Puerta Robo Fence</t>
  </si>
  <si>
    <t>Gate Assembly</t>
  </si>
  <si>
    <t>https://www.traceparts.com/els/squaregroup/en/product/robo-fencer-machine-guarding-machine-guarding-1000-x-1800-mm-16-ga-solid-steel-slide-left-gate-assy?CatalogPath=SQUARE_641530326%3ARFMG.050.2.030&amp;Product=90-13112024-035661&amp;PartNumber=SGA.06.1000.1800.SL.1</t>
  </si>
  <si>
    <t>Operación</t>
  </si>
  <si>
    <t>Pedestal HMI</t>
  </si>
  <si>
    <t>Hoffmann</t>
  </si>
  <si>
    <t>https://www.nvent.com/es-mx/hoffman/products/pedestal-system-0</t>
  </si>
  <si>
    <t>Logística</t>
  </si>
  <si>
    <t>Dispensador de pallets</t>
  </si>
  <si>
    <t>Quimarix</t>
  </si>
  <si>
    <t>https://www.qimarox.es/producto/pallet-dispenser/</t>
  </si>
  <si>
    <t>Estibas plásticas</t>
  </si>
  <si>
    <t>1200×1000 mm</t>
  </si>
  <si>
    <t>https://www.orbiscorporation.com/es-mx/industries/industrial/plastic-pallets/</t>
  </si>
  <si>
    <t>Transporte</t>
  </si>
  <si>
    <t>Conveyor 950-4000</t>
  </si>
  <si>
    <t>Interroll Modular</t>
  </si>
  <si>
    <t>https://www.interroll.com/es/productos/mcp</t>
  </si>
  <si>
    <t>Conveyor 600</t>
  </si>
  <si>
    <t>Eléctrico</t>
  </si>
  <si>
    <t>Gabinete IP66</t>
  </si>
  <si>
    <t>Rittal VX25</t>
  </si>
  <si>
    <t>https://www.rittal.com/co-es/products/PG20231215SCH101/PG20240111SCH301/PRO83564</t>
  </si>
  <si>
    <t>Control</t>
  </si>
  <si>
    <t>PLC Principal</t>
  </si>
  <si>
    <t>Allen-Bradley ControlLogix 5580</t>
  </si>
  <si>
    <t>https://www.rockwellautomation.com/es-co/products/hardware/programmable-controllers/1756controllogix5580.html</t>
  </si>
  <si>
    <t>Chasis PLC</t>
  </si>
  <si>
    <t>1756-A10</t>
  </si>
  <si>
    <t>https://literature.rockwellautomation.com/idc/groups/literature/documents/in/1756-in621_-es-p.pdf</t>
  </si>
  <si>
    <t>Fuente PLC</t>
  </si>
  <si>
    <t>1756-PA75</t>
  </si>
  <si>
    <t>https://literature.rockwellautomation.com/idc/groups/literature/documents/in/1756-in619_-es-p.pdf</t>
  </si>
  <si>
    <t>Entradas Digitales</t>
  </si>
  <si>
    <t>1756-IB32</t>
  </si>
  <si>
    <t>https://literature.rockwellautomation.com/idc/groups/literature/documents/um/1756-um058_-es-p.pdf</t>
  </si>
  <si>
    <t>Salidas Digitales</t>
  </si>
  <si>
    <t>1756-OB32</t>
  </si>
  <si>
    <t>Entradas Analógicas</t>
  </si>
  <si>
    <t>1756-IF8</t>
  </si>
  <si>
    <t>https://literature.rockwellautomation.com/idc/groups/literature/documents/um/1756-um009_-es-p.pdf</t>
  </si>
  <si>
    <t>Salidas Analógicas</t>
  </si>
  <si>
    <t>1756-OF8</t>
  </si>
  <si>
    <t>HMI</t>
  </si>
  <si>
    <t>PanelView Plus 7</t>
  </si>
  <si>
    <t>https://www.rockwellautomation.com/es-co/products/hardware/hmi/2711p-panelview-plus-7.html</t>
  </si>
  <si>
    <t>Redes</t>
  </si>
  <si>
    <t>Switch Ethernet/IP</t>
  </si>
  <si>
    <t>Stratix 5700</t>
  </si>
  <si>
    <t>https://www.rockwellautomation.com/es-co/products/hardware/industrial-network-products/stratix-5700-industrial.html</t>
  </si>
  <si>
    <t>Patch Panel Industrial</t>
  </si>
  <si>
    <t>Cat6 Industrial</t>
  </si>
  <si>
    <t>https://www.phoenixcontact.com/en-pc/products/industrial-communication/installation-technology-and-accessories/patch-panels</t>
  </si>
  <si>
    <t>Cable Ethernet Industrial</t>
  </si>
  <si>
    <t>1 lote</t>
  </si>
  <si>
    <t>https://www.belden.com/products/cable/ethernet-cable/category-6-cable</t>
  </si>
  <si>
    <t>Conectores M12</t>
  </si>
  <si>
    <t>Ethernet/IP</t>
  </si>
  <si>
    <t>https://www.phoenixcontact.com/es-pc/cat/m12-ethernet-connectors-1592</t>
  </si>
  <si>
    <t>Software</t>
  </si>
  <si>
    <t>Siemens NX Design</t>
  </si>
  <si>
    <t>Licencia</t>
  </si>
  <si>
    <t>https://plm.sw.siemens.com/nx</t>
  </si>
  <si>
    <t>NX Mechatronics Concept Designer</t>
  </si>
  <si>
    <t>https://plm.sw.siemens.com</t>
  </si>
  <si>
    <t>Studio 5000 Logix Designer</t>
  </si>
  <si>
    <t>Professional</t>
  </si>
  <si>
    <t>https://www.rockwellautomation.com</t>
  </si>
  <si>
    <t>FactoryTalk View Studio</t>
  </si>
  <si>
    <t>SE</t>
  </si>
  <si>
    <t>FactoryTalk Linx</t>
  </si>
  <si>
    <t>Runtime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</si>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</sst>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8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wrapText="1"/>
    </xf>
    <xf numFmtId="0" fontId="3" fillId="0" borderId="1" xfId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ittal.com/" TargetMode="External"/><Relationship Id="rId13" Type="http://schemas.openxmlformats.org/officeDocument/2006/relationships/hyperlink" Target="https://www.rittal.com/" TargetMode="External"/><Relationship Id="rId18" Type="http://schemas.openxmlformats.org/officeDocument/2006/relationships/hyperlink" Target="https://literature.rockwellautomation.com/idc/groups/literature/documents/um/1756-um058_-es-p.pdf" TargetMode="External"/><Relationship Id="rId26" Type="http://schemas.openxmlformats.org/officeDocument/2006/relationships/hyperlink" Target="https://plm.sw.siemens.com/nx" TargetMode="External"/><Relationship Id="rId3" Type="http://schemas.openxmlformats.org/officeDocument/2006/relationships/hyperlink" Target="https://library.e.abb.com/public/599e76150db34d35ac0c1e0b3708cc8e/FlexGripper+Family_Presentation_FT_JAN2018_EXTERNAL+DISTRIBUTION.pdf" TargetMode="External"/><Relationship Id="rId21" Type="http://schemas.openxmlformats.org/officeDocument/2006/relationships/hyperlink" Target="https://www.rockwellautomation.com/es-co/products/hardware/hmi/2711p-panelview-plus-7.html" TargetMode="External"/><Relationship Id="rId7" Type="http://schemas.openxmlformats.org/officeDocument/2006/relationships/hyperlink" Target="https://www.traceparts.com/en/search/robo-fencer-machine-guarding-gate-assemblies" TargetMode="External"/><Relationship Id="rId12" Type="http://schemas.openxmlformats.org/officeDocument/2006/relationships/hyperlink" Target="https://www.interroll.com/" TargetMode="External"/><Relationship Id="rId17" Type="http://schemas.openxmlformats.org/officeDocument/2006/relationships/hyperlink" Target="https://literature.rockwellautomation.com/idc/groups/literature/documents/um/1756-um058_-es-p.pdf" TargetMode="External"/><Relationship Id="rId25" Type="http://schemas.openxmlformats.org/officeDocument/2006/relationships/hyperlink" Target="https://www.phoenixcontact.com/es-pc/cat/m12-ethernet-connectors-1592" TargetMode="External"/><Relationship Id="rId2" Type="http://schemas.openxmlformats.org/officeDocument/2006/relationships/hyperlink" Target="https://new.abb.com/products/robotics/controllers/omnicore" TargetMode="External"/><Relationship Id="rId16" Type="http://schemas.openxmlformats.org/officeDocument/2006/relationships/hyperlink" Target="https://literature.rockwellautomation.com/idc/groups/literature/documents/in/1756-in619_-es-p.pdf" TargetMode="External"/><Relationship Id="rId20" Type="http://schemas.openxmlformats.org/officeDocument/2006/relationships/hyperlink" Target="https://literature.rockwellautomation.com/idc/groups/literature/documents/um/1756-um009_-es-p.pdf" TargetMode="External"/><Relationship Id="rId29" Type="http://schemas.openxmlformats.org/officeDocument/2006/relationships/hyperlink" Target="https://www.rockwellautomation.com/" TargetMode="External"/><Relationship Id="rId1" Type="http://schemas.openxmlformats.org/officeDocument/2006/relationships/hyperlink" Target="https://new.abb.com/products/robotics/industrial-robots/irb-460" TargetMode="External"/><Relationship Id="rId6" Type="http://schemas.openxmlformats.org/officeDocument/2006/relationships/hyperlink" Target="https://www.traceparts.com/en/search/robo-fencer-machine-guarding-gate-assemblies" TargetMode="External"/><Relationship Id="rId11" Type="http://schemas.openxmlformats.org/officeDocument/2006/relationships/hyperlink" Target="https://www.interroll.com/" TargetMode="External"/><Relationship Id="rId24" Type="http://schemas.openxmlformats.org/officeDocument/2006/relationships/hyperlink" Target="https://www.belden.com/products/cable/ethernet-cable/category-6-cable" TargetMode="External"/><Relationship Id="rId5" Type="http://schemas.openxmlformats.org/officeDocument/2006/relationships/hyperlink" Target="https://www.patlite.com/" TargetMode="External"/><Relationship Id="rId15" Type="http://schemas.openxmlformats.org/officeDocument/2006/relationships/hyperlink" Target="https://www.rockwellautomation.com/" TargetMode="External"/><Relationship Id="rId23" Type="http://schemas.openxmlformats.org/officeDocument/2006/relationships/hyperlink" Target="https://www.phoenixcontact.com/en-pc/products/industrial-communication/installation-technology-and-accessories/patch-panels" TargetMode="External"/><Relationship Id="rId28" Type="http://schemas.openxmlformats.org/officeDocument/2006/relationships/hyperlink" Target="https://www.rockwellautomation.com/" TargetMode="External"/><Relationship Id="rId10" Type="http://schemas.openxmlformats.org/officeDocument/2006/relationships/hyperlink" Target="https://www.orbiscorporation.com/" TargetMode="External"/><Relationship Id="rId19" Type="http://schemas.openxmlformats.org/officeDocument/2006/relationships/hyperlink" Target="https://literature.rockwellautomation.com/idc/groups/literature/documents/um/1756-um009_-es-p.pdf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reersafety.com/" TargetMode="External"/><Relationship Id="rId9" Type="http://schemas.openxmlformats.org/officeDocument/2006/relationships/hyperlink" Target="https://www.qimarox.com/" TargetMode="External"/><Relationship Id="rId14" Type="http://schemas.openxmlformats.org/officeDocument/2006/relationships/hyperlink" Target="https://www.rockwellautomation.com/es-co/products/hardware/programmable-controllers/1756controllogix5580.html" TargetMode="External"/><Relationship Id="rId22" Type="http://schemas.openxmlformats.org/officeDocument/2006/relationships/hyperlink" Target="https://www.rockwellautomation.com/es-co/products/hardware/industrial-network-products/stratix-5700-industrial.html" TargetMode="External"/><Relationship Id="rId27" Type="http://schemas.openxmlformats.org/officeDocument/2006/relationships/hyperlink" Target="https://plm.sw.siemens.com/" TargetMode="External"/><Relationship Id="rId30" Type="http://schemas.openxmlformats.org/officeDocument/2006/relationships/hyperlink" Target="https://www.rockwellautoma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0E53-4637-4803-81A5-333E732FEE1D}">
  <dimension ref="A1:G34"/>
  <sheetViews>
    <sheetView tabSelected="1" topLeftCell="A28" workbookViewId="0">
      <selection activeCell="G35" sqref="G35"/>
    </sheetView>
  </sheetViews>
  <sheetFormatPr baseColWidth="10" defaultRowHeight="14.4" x14ac:dyDescent="0.3"/>
  <cols>
    <col min="1" max="1" width="9.6640625" bestFit="1" customWidth="1"/>
    <col min="2" max="3" width="11.21875" bestFit="1" customWidth="1"/>
    <col min="4" max="4" width="5.6640625" bestFit="1" customWidth="1"/>
    <col min="5" max="6" width="15.21875" bestFit="1" customWidth="1"/>
    <col min="7" max="7" width="240.109375" bestFit="1" customWidth="1"/>
  </cols>
  <sheetData>
    <row r="1" spans="1:7" ht="27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 ht="27" x14ac:dyDescent="0.3">
      <c r="A2" s="5" t="s">
        <v>7</v>
      </c>
      <c r="B2" s="5" t="s">
        <v>8</v>
      </c>
      <c r="C2" s="5" t="s">
        <v>9</v>
      </c>
      <c r="D2" s="6">
        <v>1</v>
      </c>
      <c r="E2" s="7">
        <v>230000000</v>
      </c>
      <c r="F2" s="7">
        <v>230000000</v>
      </c>
      <c r="G2" s="8" t="s">
        <v>10</v>
      </c>
    </row>
    <row r="3" spans="1:7" ht="40.200000000000003" x14ac:dyDescent="0.3">
      <c r="A3" s="5" t="s">
        <v>7</v>
      </c>
      <c r="B3" s="5" t="s">
        <v>11</v>
      </c>
      <c r="C3" s="5" t="s">
        <v>12</v>
      </c>
      <c r="D3" s="6">
        <v>1</v>
      </c>
      <c r="E3" s="6" t="s">
        <v>13</v>
      </c>
      <c r="F3" s="6" t="s">
        <v>13</v>
      </c>
      <c r="G3" s="8" t="s">
        <v>14</v>
      </c>
    </row>
    <row r="4" spans="1:7" ht="40.200000000000003" x14ac:dyDescent="0.3">
      <c r="A4" s="5" t="s">
        <v>7</v>
      </c>
      <c r="B4" s="5" t="s">
        <v>15</v>
      </c>
      <c r="C4" s="5" t="s">
        <v>16</v>
      </c>
      <c r="D4" s="6">
        <v>1</v>
      </c>
      <c r="E4" s="7">
        <v>28000000</v>
      </c>
      <c r="F4" s="7">
        <v>28000000</v>
      </c>
      <c r="G4" s="8" t="s">
        <v>17</v>
      </c>
    </row>
    <row r="5" spans="1:7" ht="27" x14ac:dyDescent="0.3">
      <c r="A5" s="5" t="s">
        <v>18</v>
      </c>
      <c r="B5" s="5" t="s">
        <v>19</v>
      </c>
      <c r="C5" s="5" t="s">
        <v>20</v>
      </c>
      <c r="D5" s="6">
        <v>3</v>
      </c>
      <c r="E5" s="7">
        <v>6500000</v>
      </c>
      <c r="F5" s="7">
        <v>19500000</v>
      </c>
      <c r="G5" s="8" t="s">
        <v>21</v>
      </c>
    </row>
    <row r="6" spans="1:7" ht="27" x14ac:dyDescent="0.3">
      <c r="A6" s="5" t="s">
        <v>18</v>
      </c>
      <c r="B6" s="5" t="s">
        <v>22</v>
      </c>
      <c r="C6" s="5" t="s">
        <v>23</v>
      </c>
      <c r="D6" s="6">
        <v>2</v>
      </c>
      <c r="E6" s="7">
        <v>450000</v>
      </c>
      <c r="F6" s="7">
        <v>900000</v>
      </c>
      <c r="G6" s="8" t="s">
        <v>24</v>
      </c>
    </row>
    <row r="7" spans="1:7" ht="27" x14ac:dyDescent="0.3">
      <c r="A7" s="5" t="s">
        <v>18</v>
      </c>
      <c r="B7" s="5" t="s">
        <v>25</v>
      </c>
      <c r="C7" s="5" t="s">
        <v>26</v>
      </c>
      <c r="D7" s="6">
        <v>19</v>
      </c>
      <c r="E7" s="7">
        <v>1800000</v>
      </c>
      <c r="F7" s="7">
        <v>34200000</v>
      </c>
      <c r="G7" s="9" t="s">
        <v>27</v>
      </c>
    </row>
    <row r="8" spans="1:7" ht="27" x14ac:dyDescent="0.3">
      <c r="A8" s="5" t="s">
        <v>18</v>
      </c>
      <c r="B8" s="5" t="s">
        <v>28</v>
      </c>
      <c r="C8" s="5" t="s">
        <v>29</v>
      </c>
      <c r="D8" s="6">
        <v>1</v>
      </c>
      <c r="E8" s="7">
        <v>4500000</v>
      </c>
      <c r="F8" s="7">
        <v>4500000</v>
      </c>
      <c r="G8" s="9" t="s">
        <v>30</v>
      </c>
    </row>
    <row r="9" spans="1:7" ht="27" x14ac:dyDescent="0.3">
      <c r="A9" s="5" t="s">
        <v>31</v>
      </c>
      <c r="B9" s="5" t="s">
        <v>32</v>
      </c>
      <c r="C9" s="5" t="s">
        <v>33</v>
      </c>
      <c r="D9" s="6">
        <v>1</v>
      </c>
      <c r="E9" s="7">
        <v>2500000</v>
      </c>
      <c r="F9" s="7">
        <v>2500000</v>
      </c>
      <c r="G9" s="8" t="s">
        <v>34</v>
      </c>
    </row>
    <row r="10" spans="1:7" ht="27" x14ac:dyDescent="0.3">
      <c r="A10" s="5" t="s">
        <v>35</v>
      </c>
      <c r="B10" s="5" t="s">
        <v>36</v>
      </c>
      <c r="C10" s="5" t="s">
        <v>37</v>
      </c>
      <c r="D10" s="6">
        <v>1</v>
      </c>
      <c r="E10" s="7">
        <v>42000000</v>
      </c>
      <c r="F10" s="7">
        <v>42000000</v>
      </c>
      <c r="G10" s="8" t="s">
        <v>38</v>
      </c>
    </row>
    <row r="11" spans="1:7" ht="27" x14ac:dyDescent="0.3">
      <c r="A11" s="5" t="s">
        <v>35</v>
      </c>
      <c r="B11" s="5" t="s">
        <v>39</v>
      </c>
      <c r="C11" s="5" t="s">
        <v>40</v>
      </c>
      <c r="D11" s="6">
        <v>20</v>
      </c>
      <c r="E11" s="7">
        <v>280000</v>
      </c>
      <c r="F11" s="7">
        <v>5600000</v>
      </c>
      <c r="G11" s="8" t="s">
        <v>41</v>
      </c>
    </row>
    <row r="12" spans="1:7" ht="27" x14ac:dyDescent="0.3">
      <c r="A12" s="5" t="s">
        <v>42</v>
      </c>
      <c r="B12" s="5" t="s">
        <v>43</v>
      </c>
      <c r="C12" s="5" t="s">
        <v>44</v>
      </c>
      <c r="D12" s="6">
        <v>2</v>
      </c>
      <c r="E12" s="7">
        <v>28000000</v>
      </c>
      <c r="F12" s="7">
        <v>56000000</v>
      </c>
      <c r="G12" s="8" t="s">
        <v>45</v>
      </c>
    </row>
    <row r="13" spans="1:7" ht="27" x14ac:dyDescent="0.3">
      <c r="A13" s="5" t="s">
        <v>42</v>
      </c>
      <c r="B13" s="5" t="s">
        <v>46</v>
      </c>
      <c r="C13" s="5" t="s">
        <v>44</v>
      </c>
      <c r="D13" s="6">
        <v>1</v>
      </c>
      <c r="E13" s="7">
        <v>18000000</v>
      </c>
      <c r="F13" s="7">
        <v>18000000</v>
      </c>
      <c r="G13" s="8" t="s">
        <v>45</v>
      </c>
    </row>
    <row r="14" spans="1:7" ht="27" x14ac:dyDescent="0.3">
      <c r="A14" s="5" t="s">
        <v>47</v>
      </c>
      <c r="B14" s="5" t="s">
        <v>48</v>
      </c>
      <c r="C14" s="5" t="s">
        <v>49</v>
      </c>
      <c r="D14" s="6">
        <v>1</v>
      </c>
      <c r="E14" s="7">
        <v>8500000</v>
      </c>
      <c r="F14" s="7">
        <v>8500000</v>
      </c>
      <c r="G14" s="8" t="s">
        <v>50</v>
      </c>
    </row>
    <row r="15" spans="1:7" ht="53.4" x14ac:dyDescent="0.3">
      <c r="A15" s="5" t="s">
        <v>51</v>
      </c>
      <c r="B15" s="5" t="s">
        <v>52</v>
      </c>
      <c r="C15" s="5" t="s">
        <v>53</v>
      </c>
      <c r="D15" s="6">
        <v>1</v>
      </c>
      <c r="E15" s="7">
        <v>75000000</v>
      </c>
      <c r="F15" s="7">
        <v>75000000</v>
      </c>
      <c r="G15" s="8" t="s">
        <v>54</v>
      </c>
    </row>
    <row r="16" spans="1:7" x14ac:dyDescent="0.3">
      <c r="A16" s="5" t="s">
        <v>51</v>
      </c>
      <c r="B16" s="5" t="s">
        <v>55</v>
      </c>
      <c r="C16" s="5" t="s">
        <v>56</v>
      </c>
      <c r="D16" s="6">
        <v>1</v>
      </c>
      <c r="E16" s="7">
        <v>7000000</v>
      </c>
      <c r="F16" s="7">
        <v>7000000</v>
      </c>
      <c r="G16" s="8" t="s">
        <v>57</v>
      </c>
    </row>
    <row r="17" spans="1:7" x14ac:dyDescent="0.3">
      <c r="A17" s="5" t="s">
        <v>51</v>
      </c>
      <c r="B17" s="5" t="s">
        <v>58</v>
      </c>
      <c r="C17" s="5" t="s">
        <v>59</v>
      </c>
      <c r="D17" s="6">
        <v>1</v>
      </c>
      <c r="E17" s="7">
        <v>4000000</v>
      </c>
      <c r="F17" s="7">
        <v>4000000</v>
      </c>
      <c r="G17" s="8" t="s">
        <v>60</v>
      </c>
    </row>
    <row r="18" spans="1:7" ht="27" x14ac:dyDescent="0.3">
      <c r="A18" s="5" t="s">
        <v>51</v>
      </c>
      <c r="B18" s="5" t="s">
        <v>61</v>
      </c>
      <c r="C18" s="5" t="s">
        <v>62</v>
      </c>
      <c r="D18" s="6">
        <v>2</v>
      </c>
      <c r="E18" s="7">
        <v>5500000</v>
      </c>
      <c r="F18" s="7">
        <v>11000000</v>
      </c>
      <c r="G18" s="8" t="s">
        <v>63</v>
      </c>
    </row>
    <row r="19" spans="1:7" ht="27" x14ac:dyDescent="0.3">
      <c r="A19" s="5" t="s">
        <v>51</v>
      </c>
      <c r="B19" s="5" t="s">
        <v>64</v>
      </c>
      <c r="C19" s="5" t="s">
        <v>65</v>
      </c>
      <c r="D19" s="6">
        <v>2</v>
      </c>
      <c r="E19" s="7">
        <v>5500000</v>
      </c>
      <c r="F19" s="7">
        <v>11000000</v>
      </c>
      <c r="G19" s="8" t="s">
        <v>63</v>
      </c>
    </row>
    <row r="20" spans="1:7" ht="27" x14ac:dyDescent="0.3">
      <c r="A20" s="5" t="s">
        <v>51</v>
      </c>
      <c r="B20" s="5" t="s">
        <v>66</v>
      </c>
      <c r="C20" s="5" t="s">
        <v>67</v>
      </c>
      <c r="D20" s="6">
        <v>1</v>
      </c>
      <c r="E20" s="7">
        <v>5500000</v>
      </c>
      <c r="F20" s="7">
        <v>5500000</v>
      </c>
      <c r="G20" s="8" t="s">
        <v>68</v>
      </c>
    </row>
    <row r="21" spans="1:7" ht="27" x14ac:dyDescent="0.3">
      <c r="A21" s="5" t="s">
        <v>51</v>
      </c>
      <c r="B21" s="5" t="s">
        <v>69</v>
      </c>
      <c r="C21" s="5" t="s">
        <v>70</v>
      </c>
      <c r="D21" s="6">
        <v>1</v>
      </c>
      <c r="E21" s="7">
        <v>5500000</v>
      </c>
      <c r="F21" s="7">
        <v>5500000</v>
      </c>
      <c r="G21" s="8" t="s">
        <v>68</v>
      </c>
    </row>
    <row r="22" spans="1:7" ht="27" x14ac:dyDescent="0.3">
      <c r="A22" s="5" t="s">
        <v>31</v>
      </c>
      <c r="B22" s="5" t="s">
        <v>71</v>
      </c>
      <c r="C22" s="5" t="s">
        <v>72</v>
      </c>
      <c r="D22" s="6">
        <v>1</v>
      </c>
      <c r="E22" s="7">
        <v>14000000</v>
      </c>
      <c r="F22" s="7">
        <v>14000000</v>
      </c>
      <c r="G22" s="8" t="s">
        <v>73</v>
      </c>
    </row>
    <row r="23" spans="1:7" ht="27" x14ac:dyDescent="0.3">
      <c r="A23" s="5" t="s">
        <v>74</v>
      </c>
      <c r="B23" s="5" t="s">
        <v>75</v>
      </c>
      <c r="C23" s="5" t="s">
        <v>76</v>
      </c>
      <c r="D23" s="6">
        <v>1</v>
      </c>
      <c r="E23" s="7">
        <v>9500000</v>
      </c>
      <c r="F23" s="7">
        <v>9500000</v>
      </c>
      <c r="G23" s="8" t="s">
        <v>77</v>
      </c>
    </row>
    <row r="24" spans="1:7" ht="27" x14ac:dyDescent="0.3">
      <c r="A24" s="5" t="s">
        <v>74</v>
      </c>
      <c r="B24" s="5" t="s">
        <v>78</v>
      </c>
      <c r="C24" s="5" t="s">
        <v>79</v>
      </c>
      <c r="D24" s="6">
        <v>1</v>
      </c>
      <c r="E24" s="7">
        <v>1500000</v>
      </c>
      <c r="F24" s="7">
        <v>1500000</v>
      </c>
      <c r="G24" s="8" t="s">
        <v>80</v>
      </c>
    </row>
    <row r="25" spans="1:7" ht="40.200000000000003" x14ac:dyDescent="0.3">
      <c r="A25" s="5" t="s">
        <v>74</v>
      </c>
      <c r="B25" s="5" t="s">
        <v>81</v>
      </c>
      <c r="C25" s="5" t="s">
        <v>79</v>
      </c>
      <c r="D25" s="6" t="s">
        <v>82</v>
      </c>
      <c r="E25" s="7">
        <v>8000000</v>
      </c>
      <c r="F25" s="7">
        <v>8000000</v>
      </c>
      <c r="G25" s="8" t="s">
        <v>83</v>
      </c>
    </row>
    <row r="26" spans="1:7" ht="27" x14ac:dyDescent="0.3">
      <c r="A26" s="5" t="s">
        <v>74</v>
      </c>
      <c r="B26" s="5" t="s">
        <v>84</v>
      </c>
      <c r="C26" s="5" t="s">
        <v>85</v>
      </c>
      <c r="D26" s="6">
        <v>30</v>
      </c>
      <c r="E26" s="7">
        <v>80000</v>
      </c>
      <c r="F26" s="7">
        <v>2400000</v>
      </c>
      <c r="G26" s="8" t="s">
        <v>86</v>
      </c>
    </row>
    <row r="27" spans="1:7" ht="27" x14ac:dyDescent="0.3">
      <c r="A27" s="5" t="s">
        <v>87</v>
      </c>
      <c r="B27" s="5" t="s">
        <v>88</v>
      </c>
      <c r="C27" s="5" t="s">
        <v>89</v>
      </c>
      <c r="D27" s="6">
        <v>1</v>
      </c>
      <c r="E27" s="7">
        <v>32000000</v>
      </c>
      <c r="F27" s="7">
        <v>32000000</v>
      </c>
      <c r="G27" s="8" t="s">
        <v>90</v>
      </c>
    </row>
    <row r="28" spans="1:7" ht="53.4" x14ac:dyDescent="0.3">
      <c r="A28" s="5" t="s">
        <v>87</v>
      </c>
      <c r="B28" s="5" t="s">
        <v>91</v>
      </c>
      <c r="C28" s="5" t="s">
        <v>89</v>
      </c>
      <c r="D28" s="6">
        <v>1</v>
      </c>
      <c r="E28" s="7">
        <v>38000000</v>
      </c>
      <c r="F28" s="7">
        <v>38000000</v>
      </c>
      <c r="G28" s="8" t="s">
        <v>92</v>
      </c>
    </row>
    <row r="29" spans="1:7" ht="40.200000000000003" x14ac:dyDescent="0.3">
      <c r="A29" s="5" t="s">
        <v>87</v>
      </c>
      <c r="B29" s="5" t="s">
        <v>93</v>
      </c>
      <c r="C29" s="5" t="s">
        <v>94</v>
      </c>
      <c r="D29" s="6">
        <v>1</v>
      </c>
      <c r="E29" s="7">
        <v>22000000</v>
      </c>
      <c r="F29" s="7">
        <v>22000000</v>
      </c>
      <c r="G29" s="8" t="s">
        <v>95</v>
      </c>
    </row>
    <row r="30" spans="1:7" ht="27" x14ac:dyDescent="0.3">
      <c r="A30" s="5" t="s">
        <v>87</v>
      </c>
      <c r="B30" s="5" t="s">
        <v>96</v>
      </c>
      <c r="C30" s="5" t="s">
        <v>97</v>
      </c>
      <c r="D30" s="6">
        <v>1</v>
      </c>
      <c r="E30" s="7">
        <v>12000000</v>
      </c>
      <c r="F30" s="7">
        <v>12000000</v>
      </c>
      <c r="G30" s="8" t="s">
        <v>95</v>
      </c>
    </row>
    <row r="31" spans="1:7" ht="27" x14ac:dyDescent="0.3">
      <c r="A31" s="5" t="s">
        <v>87</v>
      </c>
      <c r="B31" s="5" t="s">
        <v>98</v>
      </c>
      <c r="C31" s="5" t="s">
        <v>99</v>
      </c>
      <c r="D31" s="6">
        <v>1</v>
      </c>
      <c r="E31" s="7">
        <v>3500000</v>
      </c>
      <c r="F31" s="7">
        <v>3500000</v>
      </c>
      <c r="G31" s="8" t="s">
        <v>95</v>
      </c>
    </row>
    <row r="34" spans="5:6" x14ac:dyDescent="0.3">
      <c r="E34" s="1" t="s">
        <v>100</v>
      </c>
      <c r="F34" s="2">
        <f>SUM(F2:F31)</f>
        <v>711600000</v>
      </c>
    </row>
  </sheetData>
  <hyperlinks>
    <hyperlink ref="G2" r:id="rId1" xr:uid="{3CBB2EEE-96E6-42B3-B9EC-B19C1FAE0E43}"/>
    <hyperlink ref="G3" r:id="rId2" xr:uid="{6CF8B2A1-2513-4A4B-8B37-415F561DA4D9}"/>
    <hyperlink ref="G4" r:id="rId3" xr:uid="{0CBD0F74-E03F-4618-804E-CA6628B22A1C}"/>
    <hyperlink ref="G5" r:id="rId4" display="https://www.reersafety.com/" xr:uid="{6762FEB8-5395-4220-9191-61D9024D91F8}"/>
    <hyperlink ref="G6" r:id="rId5" display="https://www.patlite.com/" xr:uid="{F7696AE2-E9BB-4191-9B42-E0AA13E4DB61}"/>
    <hyperlink ref="G7" r:id="rId6" display="https://www.traceparts.com/en/search/robo-fencer-machine-guarding-gate-assemblies" xr:uid="{9F8FB6EE-F067-45A7-95F9-3271E60A05DB}"/>
    <hyperlink ref="G8" r:id="rId7" display="https://www.traceparts.com/en/search/robo-fencer-machine-guarding-gate-assemblies" xr:uid="{3BED0FFD-786B-4600-B6BC-81BB74EB95BC}"/>
    <hyperlink ref="G9" r:id="rId8" display="https://www.rittal.com/" xr:uid="{42C2FA3C-49CE-4524-89AA-043DAEA4144F}"/>
    <hyperlink ref="G10" r:id="rId9" display="https://www.qimarox.com/" xr:uid="{C52EC8B4-FA56-45E7-908B-2F92A4AD7E30}"/>
    <hyperlink ref="G11" r:id="rId10" display="https://www.orbiscorporation.com/" xr:uid="{14F9F2C0-963B-4E38-89CA-58392B4FA4DB}"/>
    <hyperlink ref="G12" r:id="rId11" display="https://www.interroll.com/" xr:uid="{89AD0D47-19BE-43E1-B2C1-53D4063F5B7E}"/>
    <hyperlink ref="G13" r:id="rId12" display="https://www.interroll.com/" xr:uid="{332ACA57-9F19-4F48-888E-78BBD57BA46B}"/>
    <hyperlink ref="G14" r:id="rId13" display="https://www.rittal.com/" xr:uid="{1D9661D1-0DCA-4A89-A700-94B9E8C1DE5E}"/>
    <hyperlink ref="G15" r:id="rId14" xr:uid="{499583A2-5F4A-4981-A0BB-48651CDE3A76}"/>
    <hyperlink ref="G16" r:id="rId15" display="https://www.rockwellautomation.com/" xr:uid="{21206AF9-FE53-40D3-A35E-542BD7645619}"/>
    <hyperlink ref="G17" r:id="rId16" xr:uid="{32BAD414-08BC-4B9E-BA1F-FB359744329F}"/>
    <hyperlink ref="G18" r:id="rId17" xr:uid="{7264D1F7-A863-4773-ABB4-04FC0D8E3271}"/>
    <hyperlink ref="G19" r:id="rId18" xr:uid="{95EF3462-E487-4EAC-ACB2-254BD6890633}"/>
    <hyperlink ref="G20" r:id="rId19" xr:uid="{8F671A23-50CF-43F5-A001-C09E1C190E70}"/>
    <hyperlink ref="G21" r:id="rId20" xr:uid="{3127FDB2-FA4B-4E6B-B0F3-99A881F05495}"/>
    <hyperlink ref="G22" r:id="rId21" xr:uid="{F0C55B97-971E-4A87-B3D3-C33DFA3B1E10}"/>
    <hyperlink ref="G23" r:id="rId22" xr:uid="{0827A534-4518-49AA-875A-3BB84BD96A8E}"/>
    <hyperlink ref="G24" r:id="rId23" xr:uid="{E1DC4F28-6D59-4296-8A31-178526FD1088}"/>
    <hyperlink ref="G25" r:id="rId24" xr:uid="{4DEFBB97-F8A4-483C-BC92-A323C57E8DA1}"/>
    <hyperlink ref="G26" r:id="rId25" xr:uid="{3E471242-E638-4C9A-BC68-07C625FB1C19}"/>
    <hyperlink ref="G27" r:id="rId26" xr:uid="{EFCEAF4F-E30A-4341-A3E8-E0185C4F48EB}"/>
    <hyperlink ref="G28" r:id="rId27" display="https://plm.sw.siemens.com/" xr:uid="{A982D4F4-ADBC-45CE-B1EE-A59F54CC5B0C}"/>
    <hyperlink ref="G29" r:id="rId28" display="https://www.rockwellautomation.com/" xr:uid="{95E46444-EC0A-4956-ABBC-A82B4B275250}"/>
    <hyperlink ref="G30" r:id="rId29" display="https://www.rockwellautomation.com/" xr:uid="{05BC50B0-0C8F-48BC-996E-269E51542DD8}"/>
    <hyperlink ref="G31" r:id="rId30" display="https://www.rockwellautomation.com/" xr:uid="{E09681CD-E44A-451D-B2A1-759EE7E59176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Rojas Cobos</dc:creator>
  <cp:lastModifiedBy>Juan Antonio Rojas Cobos</cp:lastModifiedBy>
  <dcterms:created xsi:type="dcterms:W3CDTF">2026-07-12T21:53:34Z</dcterms:created>
  <dcterms:modified xsi:type="dcterms:W3CDTF">2026-07-12T21:55:34Z</dcterms:modified>
</cp:coreProperties>
</file>